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Reel" sheetId="1" state="visible" r:id="rId1"/>
    <sheet xmlns:r="http://schemas.openxmlformats.org/officeDocument/2006/relationships" name="Synthese" sheetId="2" state="visible" r:id="rId2"/>
  </sheets>
  <definedNames>
    <definedName name="_xlnm._FilterDatabase" localSheetId="0" hidden="1">'Budget_Reel'!$A$1:$G$85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Résultat simplifié : budget vs réel</a:t>
            </a:r>
          </a:p>
        </rich>
      </tx>
    </title>
    <plotArea>
      <lineChart>
        <grouping val="standard"/>
        <ser>
          <idx val="0"/>
          <order val="0"/>
          <tx>
            <strRef>
              <f>'Synthese'!F12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'Synthese'!$A$13:$A$24</f>
            </numRef>
          </cat>
          <val>
            <numRef>
              <f>'Synthese'!$F$13:$F$24</f>
            </numRef>
          </val>
        </ser>
        <ser>
          <idx val="1"/>
          <order val="1"/>
          <tx>
            <strRef>
              <f>'Synthese'!G12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'Synthese'!$A$13:$A$24</f>
            </numRef>
          </cat>
          <val>
            <numRef>
              <f>'Synthese'!$G$13:$G$24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2" customWidth="1" min="4" max="4"/>
    <col width="12" customWidth="1" min="5" max="5"/>
    <col width="21" customWidth="1" min="6" max="6"/>
    <col width="24" customWidth="1" min="7" max="7"/>
  </cols>
  <sheetData>
    <row r="1" ht="32" customHeight="1">
      <c r="A1" s="1" t="inlineStr">
        <is>
          <t>Mois</t>
        </is>
      </c>
      <c r="B1" s="1" t="inlineStr">
        <is>
          <t>Poste</t>
        </is>
      </c>
      <c r="C1" s="1" t="inlineStr">
        <is>
          <t>Nature</t>
        </is>
      </c>
      <c r="D1" s="1" t="inlineStr">
        <is>
          <t>Budget_EUR</t>
        </is>
      </c>
      <c r="E1" s="1" t="inlineStr">
        <is>
          <t>Reel_EUR</t>
        </is>
      </c>
      <c r="F1" s="1" t="inlineStr">
        <is>
          <t>Ecart_EUR</t>
        </is>
      </c>
      <c r="G1" s="1" t="inlineStr">
        <is>
          <t>Ecart_pct</t>
        </is>
      </c>
    </row>
    <row r="2">
      <c r="A2" t="inlineStr">
        <is>
          <t>2025-01</t>
        </is>
      </c>
      <c r="B2" t="inlineStr">
        <is>
          <t>Chiffre d'affaires</t>
        </is>
      </c>
      <c r="C2" t="inlineStr">
        <is>
          <t>Produit</t>
        </is>
      </c>
      <c r="D2" s="2" t="n">
        <v>26400</v>
      </c>
      <c r="E2" s="2" t="n">
        <v>26380.77</v>
      </c>
      <c r="F2" s="2">
        <f>E2-D2</f>
        <v/>
      </c>
      <c r="G2" s="3">
        <f>IFERROR(F2/D2,0)</f>
        <v/>
      </c>
    </row>
    <row r="3">
      <c r="A3" t="inlineStr">
        <is>
          <t>2025-01</t>
        </is>
      </c>
      <c r="B3" t="inlineStr">
        <is>
          <t>Achats marchandises</t>
        </is>
      </c>
      <c r="C3" t="inlineStr">
        <is>
          <t>Charge variable</t>
        </is>
      </c>
      <c r="D3" s="2" t="n">
        <v>11000</v>
      </c>
      <c r="E3" s="2" t="n">
        <v>11719.5</v>
      </c>
      <c r="F3" s="2">
        <f>E3-D3</f>
        <v/>
      </c>
      <c r="G3" s="3">
        <f>IFERROR(F3/D3,0)</f>
        <v/>
      </c>
    </row>
    <row r="4">
      <c r="A4" t="inlineStr">
        <is>
          <t>2025-01</t>
        </is>
      </c>
      <c r="B4" t="inlineStr">
        <is>
          <t>Salaires et charges</t>
        </is>
      </c>
      <c r="C4" t="inlineStr">
        <is>
          <t>Charge fixe</t>
        </is>
      </c>
      <c r="D4" s="2" t="n">
        <v>5456</v>
      </c>
      <c r="E4" s="2" t="n">
        <v>5352.49</v>
      </c>
      <c r="F4" s="2">
        <f>E4-D4</f>
        <v/>
      </c>
      <c r="G4" s="3">
        <f>IFERROR(F4/D4,0)</f>
        <v/>
      </c>
    </row>
    <row r="5">
      <c r="A5" t="inlineStr">
        <is>
          <t>2025-01</t>
        </is>
      </c>
      <c r="B5" t="inlineStr">
        <is>
          <t>Loyer et charges locatives</t>
        </is>
      </c>
      <c r="C5" t="inlineStr">
        <is>
          <t>Charge fixe</t>
        </is>
      </c>
      <c r="D5" s="2" t="n">
        <v>1584</v>
      </c>
      <c r="E5" s="2" t="n">
        <v>1650.26</v>
      </c>
      <c r="F5" s="2">
        <f>E5-D5</f>
        <v/>
      </c>
      <c r="G5" s="3">
        <f>IFERROR(F5/D5,0)</f>
        <v/>
      </c>
    </row>
    <row r="6">
      <c r="A6" t="inlineStr">
        <is>
          <t>2025-01</t>
        </is>
      </c>
      <c r="B6" t="inlineStr">
        <is>
          <t>Marketing</t>
        </is>
      </c>
      <c r="C6" t="inlineStr">
        <is>
          <t>Charge semi-variable</t>
        </is>
      </c>
      <c r="D6" s="2" t="n">
        <v>1056</v>
      </c>
      <c r="E6" s="2" t="n">
        <v>1044.47</v>
      </c>
      <c r="F6" s="2">
        <f>E6-D6</f>
        <v/>
      </c>
      <c r="G6" s="3">
        <f>IFERROR(F6/D6,0)</f>
        <v/>
      </c>
    </row>
    <row r="7">
      <c r="A7" t="inlineStr">
        <is>
          <t>2025-01</t>
        </is>
      </c>
      <c r="B7" t="inlineStr">
        <is>
          <t>Logistique</t>
        </is>
      </c>
      <c r="C7" t="inlineStr">
        <is>
          <t>Charge variable</t>
        </is>
      </c>
      <c r="D7" s="2" t="n">
        <v>792</v>
      </c>
      <c r="E7" s="2" t="n">
        <v>758.51</v>
      </c>
      <c r="F7" s="2">
        <f>E7-D7</f>
        <v/>
      </c>
      <c r="G7" s="3">
        <f>IFERROR(F7/D7,0)</f>
        <v/>
      </c>
    </row>
    <row r="8">
      <c r="A8" t="inlineStr">
        <is>
          <t>2025-01</t>
        </is>
      </c>
      <c r="B8" t="inlineStr">
        <is>
          <t>Autres charges</t>
        </is>
      </c>
      <c r="C8" t="inlineStr">
        <is>
          <t>Charge fixe</t>
        </is>
      </c>
      <c r="D8" s="2" t="n">
        <v>572</v>
      </c>
      <c r="E8" s="2" t="n">
        <v>577.47</v>
      </c>
      <c r="F8" s="2">
        <f>E8-D8</f>
        <v/>
      </c>
      <c r="G8" s="3">
        <f>IFERROR(F8/D8,0)</f>
        <v/>
      </c>
    </row>
    <row r="9">
      <c r="A9" t="inlineStr">
        <is>
          <t>2025-02</t>
        </is>
      </c>
      <c r="B9" t="inlineStr">
        <is>
          <t>Chiffre d'affaires</t>
        </is>
      </c>
      <c r="C9" t="inlineStr">
        <is>
          <t>Produit</t>
        </is>
      </c>
      <c r="D9" s="2" t="n">
        <v>27000</v>
      </c>
      <c r="E9" s="2" t="n">
        <v>27141.86</v>
      </c>
      <c r="F9" s="2">
        <f>E9-D9</f>
        <v/>
      </c>
      <c r="G9" s="3">
        <f>IFERROR(F9/D9,0)</f>
        <v/>
      </c>
    </row>
    <row r="10">
      <c r="A10" t="inlineStr">
        <is>
          <t>2025-02</t>
        </is>
      </c>
      <c r="B10" t="inlineStr">
        <is>
          <t>Achats marchandises</t>
        </is>
      </c>
      <c r="C10" t="inlineStr">
        <is>
          <t>Charge variable</t>
        </is>
      </c>
      <c r="D10" s="2" t="n">
        <v>11250</v>
      </c>
      <c r="E10" s="2" t="n">
        <v>11224.53</v>
      </c>
      <c r="F10" s="2">
        <f>E10-D10</f>
        <v/>
      </c>
      <c r="G10" s="3">
        <f>IFERROR(F10/D10,0)</f>
        <v/>
      </c>
    </row>
    <row r="11">
      <c r="A11" t="inlineStr">
        <is>
          <t>2025-02</t>
        </is>
      </c>
      <c r="B11" t="inlineStr">
        <is>
          <t>Salaires et charges</t>
        </is>
      </c>
      <c r="C11" t="inlineStr">
        <is>
          <t>Charge fixe</t>
        </is>
      </c>
      <c r="D11" s="2" t="n">
        <v>5580</v>
      </c>
      <c r="E11" s="2" t="n">
        <v>5740.98</v>
      </c>
      <c r="F11" s="2">
        <f>E11-D11</f>
        <v/>
      </c>
      <c r="G11" s="3">
        <f>IFERROR(F11/D11,0)</f>
        <v/>
      </c>
    </row>
    <row r="12">
      <c r="A12" t="inlineStr">
        <is>
          <t>2025-02</t>
        </is>
      </c>
      <c r="B12" t="inlineStr">
        <is>
          <t>Loyer et charges locatives</t>
        </is>
      </c>
      <c r="C12" t="inlineStr">
        <is>
          <t>Charge fixe</t>
        </is>
      </c>
      <c r="D12" s="2" t="n">
        <v>1620</v>
      </c>
      <c r="E12" s="2" t="n">
        <v>1620.69</v>
      </c>
      <c r="F12" s="2">
        <f>E12-D12</f>
        <v/>
      </c>
      <c r="G12" s="3">
        <f>IFERROR(F12/D12,0)</f>
        <v/>
      </c>
    </row>
    <row r="13">
      <c r="A13" t="inlineStr">
        <is>
          <t>2025-02</t>
        </is>
      </c>
      <c r="B13" t="inlineStr">
        <is>
          <t>Marketing</t>
        </is>
      </c>
      <c r="C13" t="inlineStr">
        <is>
          <t>Charge semi-variable</t>
        </is>
      </c>
      <c r="D13" s="2" t="n">
        <v>1080</v>
      </c>
      <c r="E13" s="2" t="n">
        <v>1234.5</v>
      </c>
      <c r="F13" s="2">
        <f>E13-D13</f>
        <v/>
      </c>
      <c r="G13" s="3">
        <f>IFERROR(F13/D13,0)</f>
        <v/>
      </c>
    </row>
    <row r="14">
      <c r="A14" t="inlineStr">
        <is>
          <t>2025-02</t>
        </is>
      </c>
      <c r="B14" t="inlineStr">
        <is>
          <t>Logistique</t>
        </is>
      </c>
      <c r="C14" t="inlineStr">
        <is>
          <t>Charge variable</t>
        </is>
      </c>
      <c r="D14" s="2" t="n">
        <v>810</v>
      </c>
      <c r="E14" s="2" t="n">
        <v>871.0599999999999</v>
      </c>
      <c r="F14" s="2">
        <f>E14-D14</f>
        <v/>
      </c>
      <c r="G14" s="3">
        <f>IFERROR(F14/D14,0)</f>
        <v/>
      </c>
    </row>
    <row r="15">
      <c r="A15" t="inlineStr">
        <is>
          <t>2025-02</t>
        </is>
      </c>
      <c r="B15" t="inlineStr">
        <is>
          <t>Autres charges</t>
        </is>
      </c>
      <c r="C15" t="inlineStr">
        <is>
          <t>Charge fixe</t>
        </is>
      </c>
      <c r="D15" s="2" t="n">
        <v>585</v>
      </c>
      <c r="E15" s="2" t="n">
        <v>592.88</v>
      </c>
      <c r="F15" s="2">
        <f>E15-D15</f>
        <v/>
      </c>
      <c r="G15" s="3">
        <f>IFERROR(F15/D15,0)</f>
        <v/>
      </c>
    </row>
    <row r="16">
      <c r="A16" t="inlineStr">
        <is>
          <t>2025-03</t>
        </is>
      </c>
      <c r="B16" t="inlineStr">
        <is>
          <t>Chiffre d'affaires</t>
        </is>
      </c>
      <c r="C16" t="inlineStr">
        <is>
          <t>Produit</t>
        </is>
      </c>
      <c r="D16" s="2" t="n">
        <v>28200</v>
      </c>
      <c r="E16" s="2" t="n">
        <v>27233.42</v>
      </c>
      <c r="F16" s="2">
        <f>E16-D16</f>
        <v/>
      </c>
      <c r="G16" s="3">
        <f>IFERROR(F16/D16,0)</f>
        <v/>
      </c>
    </row>
    <row r="17">
      <c r="A17" t="inlineStr">
        <is>
          <t>2025-03</t>
        </is>
      </c>
      <c r="B17" t="inlineStr">
        <is>
          <t>Achats marchandises</t>
        </is>
      </c>
      <c r="C17" t="inlineStr">
        <is>
          <t>Charge variable</t>
        </is>
      </c>
      <c r="D17" s="2" t="n">
        <v>11750</v>
      </c>
      <c r="E17" s="2" t="n">
        <v>12065.13</v>
      </c>
      <c r="F17" s="2">
        <f>E17-D17</f>
        <v/>
      </c>
      <c r="G17" s="3">
        <f>IFERROR(F17/D17,0)</f>
        <v/>
      </c>
    </row>
    <row r="18">
      <c r="A18" t="inlineStr">
        <is>
          <t>2025-03</t>
        </is>
      </c>
      <c r="B18" t="inlineStr">
        <is>
          <t>Salaires et charges</t>
        </is>
      </c>
      <c r="C18" t="inlineStr">
        <is>
          <t>Charge fixe</t>
        </is>
      </c>
      <c r="D18" s="2" t="n">
        <v>5828</v>
      </c>
      <c r="E18" s="2" t="n">
        <v>5995.59</v>
      </c>
      <c r="F18" s="2">
        <f>E18-D18</f>
        <v/>
      </c>
      <c r="G18" s="3">
        <f>IFERROR(F18/D18,0)</f>
        <v/>
      </c>
    </row>
    <row r="19">
      <c r="A19" t="inlineStr">
        <is>
          <t>2025-03</t>
        </is>
      </c>
      <c r="B19" t="inlineStr">
        <is>
          <t>Loyer et charges locatives</t>
        </is>
      </c>
      <c r="C19" t="inlineStr">
        <is>
          <t>Charge fixe</t>
        </is>
      </c>
      <c r="D19" s="2" t="n">
        <v>1692</v>
      </c>
      <c r="E19" s="2" t="n">
        <v>1804.59</v>
      </c>
      <c r="F19" s="2">
        <f>E19-D19</f>
        <v/>
      </c>
      <c r="G19" s="3">
        <f>IFERROR(F19/D19,0)</f>
        <v/>
      </c>
    </row>
    <row r="20">
      <c r="A20" t="inlineStr">
        <is>
          <t>2025-03</t>
        </is>
      </c>
      <c r="B20" t="inlineStr">
        <is>
          <t>Marketing</t>
        </is>
      </c>
      <c r="C20" t="inlineStr">
        <is>
          <t>Charge semi-variable</t>
        </is>
      </c>
      <c r="D20" s="2" t="n">
        <v>1128</v>
      </c>
      <c r="E20" s="2" t="n">
        <v>1343.35</v>
      </c>
      <c r="F20" s="2">
        <f>E20-D20</f>
        <v/>
      </c>
      <c r="G20" s="3">
        <f>IFERROR(F20/D20,0)</f>
        <v/>
      </c>
    </row>
    <row r="21">
      <c r="A21" t="inlineStr">
        <is>
          <t>2025-03</t>
        </is>
      </c>
      <c r="B21" t="inlineStr">
        <is>
          <t>Logistique</t>
        </is>
      </c>
      <c r="C21" t="inlineStr">
        <is>
          <t>Charge variable</t>
        </is>
      </c>
      <c r="D21" s="2" t="n">
        <v>846</v>
      </c>
      <c r="E21" s="2" t="n">
        <v>945.89</v>
      </c>
      <c r="F21" s="2">
        <f>E21-D21</f>
        <v/>
      </c>
      <c r="G21" s="3">
        <f>IFERROR(F21/D21,0)</f>
        <v/>
      </c>
    </row>
    <row r="22">
      <c r="A22" t="inlineStr">
        <is>
          <t>2025-03</t>
        </is>
      </c>
      <c r="B22" t="inlineStr">
        <is>
          <t>Autres charges</t>
        </is>
      </c>
      <c r="C22" t="inlineStr">
        <is>
          <t>Charge fixe</t>
        </is>
      </c>
      <c r="D22" s="2" t="n">
        <v>611</v>
      </c>
      <c r="E22" s="2" t="n">
        <v>667.34</v>
      </c>
      <c r="F22" s="2">
        <f>E22-D22</f>
        <v/>
      </c>
      <c r="G22" s="3">
        <f>IFERROR(F22/D22,0)</f>
        <v/>
      </c>
    </row>
    <row r="23">
      <c r="A23" t="inlineStr">
        <is>
          <t>2025-04</t>
        </is>
      </c>
      <c r="B23" t="inlineStr">
        <is>
          <t>Chiffre d'affaires</t>
        </is>
      </c>
      <c r="C23" t="inlineStr">
        <is>
          <t>Produit</t>
        </is>
      </c>
      <c r="D23" s="2" t="n">
        <v>28800</v>
      </c>
      <c r="E23" s="2" t="n">
        <v>30769.28</v>
      </c>
      <c r="F23" s="2">
        <f>E23-D23</f>
        <v/>
      </c>
      <c r="G23" s="3">
        <f>IFERROR(F23/D23,0)</f>
        <v/>
      </c>
    </row>
    <row r="24">
      <c r="A24" t="inlineStr">
        <is>
          <t>2025-04</t>
        </is>
      </c>
      <c r="B24" t="inlineStr">
        <is>
          <t>Achats marchandises</t>
        </is>
      </c>
      <c r="C24" t="inlineStr">
        <is>
          <t>Charge variable</t>
        </is>
      </c>
      <c r="D24" s="2" t="n">
        <v>12000</v>
      </c>
      <c r="E24" s="2" t="n">
        <v>12501.71</v>
      </c>
      <c r="F24" s="2">
        <f>E24-D24</f>
        <v/>
      </c>
      <c r="G24" s="3">
        <f>IFERROR(F24/D24,0)</f>
        <v/>
      </c>
    </row>
    <row r="25">
      <c r="A25" t="inlineStr">
        <is>
          <t>2025-04</t>
        </is>
      </c>
      <c r="B25" t="inlineStr">
        <is>
          <t>Salaires et charges</t>
        </is>
      </c>
      <c r="C25" t="inlineStr">
        <is>
          <t>Charge fixe</t>
        </is>
      </c>
      <c r="D25" s="2" t="n">
        <v>5952</v>
      </c>
      <c r="E25" s="2" t="n">
        <v>6146.04</v>
      </c>
      <c r="F25" s="2">
        <f>E25-D25</f>
        <v/>
      </c>
      <c r="G25" s="3">
        <f>IFERROR(F25/D25,0)</f>
        <v/>
      </c>
    </row>
    <row r="26">
      <c r="A26" t="inlineStr">
        <is>
          <t>2025-04</t>
        </is>
      </c>
      <c r="B26" t="inlineStr">
        <is>
          <t>Loyer et charges locatives</t>
        </is>
      </c>
      <c r="C26" t="inlineStr">
        <is>
          <t>Charge fixe</t>
        </is>
      </c>
      <c r="D26" s="2" t="n">
        <v>1728</v>
      </c>
      <c r="E26" s="2" t="n">
        <v>1710.33</v>
      </c>
      <c r="F26" s="2">
        <f>E26-D26</f>
        <v/>
      </c>
      <c r="G26" s="3">
        <f>IFERROR(F26/D26,0)</f>
        <v/>
      </c>
    </row>
    <row r="27">
      <c r="A27" t="inlineStr">
        <is>
          <t>2025-04</t>
        </is>
      </c>
      <c r="B27" t="inlineStr">
        <is>
          <t>Marketing</t>
        </is>
      </c>
      <c r="C27" t="inlineStr">
        <is>
          <t>Charge semi-variable</t>
        </is>
      </c>
      <c r="D27" s="2" t="n">
        <v>1152</v>
      </c>
      <c r="E27" s="2" t="n">
        <v>1132.89</v>
      </c>
      <c r="F27" s="2">
        <f>E27-D27</f>
        <v/>
      </c>
      <c r="G27" s="3">
        <f>IFERROR(F27/D27,0)</f>
        <v/>
      </c>
    </row>
    <row r="28">
      <c r="A28" t="inlineStr">
        <is>
          <t>2025-04</t>
        </is>
      </c>
      <c r="B28" t="inlineStr">
        <is>
          <t>Logistique</t>
        </is>
      </c>
      <c r="C28" t="inlineStr">
        <is>
          <t>Charge variable</t>
        </is>
      </c>
      <c r="D28" s="2" t="n">
        <v>864</v>
      </c>
      <c r="E28" s="2" t="n">
        <v>863.5700000000001</v>
      </c>
      <c r="F28" s="2">
        <f>E28-D28</f>
        <v/>
      </c>
      <c r="G28" s="3">
        <f>IFERROR(F28/D28,0)</f>
        <v/>
      </c>
    </row>
    <row r="29">
      <c r="A29" t="inlineStr">
        <is>
          <t>2025-04</t>
        </is>
      </c>
      <c r="B29" t="inlineStr">
        <is>
          <t>Autres charges</t>
        </is>
      </c>
      <c r="C29" t="inlineStr">
        <is>
          <t>Charge fixe</t>
        </is>
      </c>
      <c r="D29" s="2" t="n">
        <v>624</v>
      </c>
      <c r="E29" s="2" t="n">
        <v>643.46</v>
      </c>
      <c r="F29" s="2">
        <f>E29-D29</f>
        <v/>
      </c>
      <c r="G29" s="3">
        <f>IFERROR(F29/D29,0)</f>
        <v/>
      </c>
    </row>
    <row r="30">
      <c r="A30" t="inlineStr">
        <is>
          <t>2025-05</t>
        </is>
      </c>
      <c r="B30" t="inlineStr">
        <is>
          <t>Chiffre d'affaires</t>
        </is>
      </c>
      <c r="C30" t="inlineStr">
        <is>
          <t>Produit</t>
        </is>
      </c>
      <c r="D30" s="2" t="n">
        <v>30000</v>
      </c>
      <c r="E30" s="2" t="n">
        <v>30912.61</v>
      </c>
      <c r="F30" s="2">
        <f>E30-D30</f>
        <v/>
      </c>
      <c r="G30" s="3">
        <f>IFERROR(F30/D30,0)</f>
        <v/>
      </c>
    </row>
    <row r="31">
      <c r="A31" t="inlineStr">
        <is>
          <t>2025-05</t>
        </is>
      </c>
      <c r="B31" t="inlineStr">
        <is>
          <t>Achats marchandises</t>
        </is>
      </c>
      <c r="C31" t="inlineStr">
        <is>
          <t>Charge variable</t>
        </is>
      </c>
      <c r="D31" s="2" t="n">
        <v>12500</v>
      </c>
      <c r="E31" s="2" t="n">
        <v>12827.75</v>
      </c>
      <c r="F31" s="2">
        <f>E31-D31</f>
        <v/>
      </c>
      <c r="G31" s="3">
        <f>IFERROR(F31/D31,0)</f>
        <v/>
      </c>
    </row>
    <row r="32">
      <c r="A32" t="inlineStr">
        <is>
          <t>2025-05</t>
        </is>
      </c>
      <c r="B32" t="inlineStr">
        <is>
          <t>Salaires et charges</t>
        </is>
      </c>
      <c r="C32" t="inlineStr">
        <is>
          <t>Charge fixe</t>
        </is>
      </c>
      <c r="D32" s="2" t="n">
        <v>6200</v>
      </c>
      <c r="E32" s="2" t="n">
        <v>6461.56</v>
      </c>
      <c r="F32" s="2">
        <f>E32-D32</f>
        <v/>
      </c>
      <c r="G32" s="3">
        <f>IFERROR(F32/D32,0)</f>
        <v/>
      </c>
    </row>
    <row r="33">
      <c r="A33" t="inlineStr">
        <is>
          <t>2025-05</t>
        </is>
      </c>
      <c r="B33" t="inlineStr">
        <is>
          <t>Loyer et charges locatives</t>
        </is>
      </c>
      <c r="C33" t="inlineStr">
        <is>
          <t>Charge fixe</t>
        </is>
      </c>
      <c r="D33" s="2" t="n">
        <v>1800</v>
      </c>
      <c r="E33" s="2" t="n">
        <v>1865.84</v>
      </c>
      <c r="F33" s="2">
        <f>E33-D33</f>
        <v/>
      </c>
      <c r="G33" s="3">
        <f>IFERROR(F33/D33,0)</f>
        <v/>
      </c>
    </row>
    <row r="34">
      <c r="A34" t="inlineStr">
        <is>
          <t>2025-05</t>
        </is>
      </c>
      <c r="B34" t="inlineStr">
        <is>
          <t>Marketing</t>
        </is>
      </c>
      <c r="C34" t="inlineStr">
        <is>
          <t>Charge semi-variable</t>
        </is>
      </c>
      <c r="D34" s="2" t="n">
        <v>1200</v>
      </c>
      <c r="E34" s="2" t="n">
        <v>1230.89</v>
      </c>
      <c r="F34" s="2">
        <f>E34-D34</f>
        <v/>
      </c>
      <c r="G34" s="3">
        <f>IFERROR(F34/D34,0)</f>
        <v/>
      </c>
    </row>
    <row r="35">
      <c r="A35" t="inlineStr">
        <is>
          <t>2025-05</t>
        </is>
      </c>
      <c r="B35" t="inlineStr">
        <is>
          <t>Logistique</t>
        </is>
      </c>
      <c r="C35" t="inlineStr">
        <is>
          <t>Charge variable</t>
        </is>
      </c>
      <c r="D35" s="2" t="n">
        <v>900</v>
      </c>
      <c r="E35" s="2" t="n">
        <v>887.76</v>
      </c>
      <c r="F35" s="2">
        <f>E35-D35</f>
        <v/>
      </c>
      <c r="G35" s="3">
        <f>IFERROR(F35/D35,0)</f>
        <v/>
      </c>
    </row>
    <row r="36">
      <c r="A36" t="inlineStr">
        <is>
          <t>2025-05</t>
        </is>
      </c>
      <c r="B36" t="inlineStr">
        <is>
          <t>Autres charges</t>
        </is>
      </c>
      <c r="C36" t="inlineStr">
        <is>
          <t>Charge fixe</t>
        </is>
      </c>
      <c r="D36" s="2" t="n">
        <v>650</v>
      </c>
      <c r="E36" s="2" t="n">
        <v>678.2</v>
      </c>
      <c r="F36" s="2">
        <f>E36-D36</f>
        <v/>
      </c>
      <c r="G36" s="3">
        <f>IFERROR(F36/D36,0)</f>
        <v/>
      </c>
    </row>
    <row r="37">
      <c r="A37" t="inlineStr">
        <is>
          <t>2025-06</t>
        </is>
      </c>
      <c r="B37" t="inlineStr">
        <is>
          <t>Chiffre d'affaires</t>
        </is>
      </c>
      <c r="C37" t="inlineStr">
        <is>
          <t>Produit</t>
        </is>
      </c>
      <c r="D37" s="2" t="n">
        <v>30600</v>
      </c>
      <c r="E37" s="2" t="n">
        <v>31596.46</v>
      </c>
      <c r="F37" s="2">
        <f>E37-D37</f>
        <v/>
      </c>
      <c r="G37" s="3">
        <f>IFERROR(F37/D37,0)</f>
        <v/>
      </c>
    </row>
    <row r="38">
      <c r="A38" t="inlineStr">
        <is>
          <t>2025-06</t>
        </is>
      </c>
      <c r="B38" t="inlineStr">
        <is>
          <t>Achats marchandises</t>
        </is>
      </c>
      <c r="C38" t="inlineStr">
        <is>
          <t>Charge variable</t>
        </is>
      </c>
      <c r="D38" s="2" t="n">
        <v>12750</v>
      </c>
      <c r="E38" s="2" t="n">
        <v>12083.41</v>
      </c>
      <c r="F38" s="2">
        <f>E38-D38</f>
        <v/>
      </c>
      <c r="G38" s="3">
        <f>IFERROR(F38/D38,0)</f>
        <v/>
      </c>
    </row>
    <row r="39">
      <c r="A39" t="inlineStr">
        <is>
          <t>2025-06</t>
        </is>
      </c>
      <c r="B39" t="inlineStr">
        <is>
          <t>Salaires et charges</t>
        </is>
      </c>
      <c r="C39" t="inlineStr">
        <is>
          <t>Charge fixe</t>
        </is>
      </c>
      <c r="D39" s="2" t="n">
        <v>6324</v>
      </c>
      <c r="E39" s="2" t="n">
        <v>6369.35</v>
      </c>
      <c r="F39" s="2">
        <f>E39-D39</f>
        <v/>
      </c>
      <c r="G39" s="3">
        <f>IFERROR(F39/D39,0)</f>
        <v/>
      </c>
    </row>
    <row r="40">
      <c r="A40" t="inlineStr">
        <is>
          <t>2025-06</t>
        </is>
      </c>
      <c r="B40" t="inlineStr">
        <is>
          <t>Loyer et charges locatives</t>
        </is>
      </c>
      <c r="C40" t="inlineStr">
        <is>
          <t>Charge fixe</t>
        </is>
      </c>
      <c r="D40" s="2" t="n">
        <v>1836</v>
      </c>
      <c r="E40" s="2" t="n">
        <v>1871.14</v>
      </c>
      <c r="F40" s="2">
        <f>E40-D40</f>
        <v/>
      </c>
      <c r="G40" s="3">
        <f>IFERROR(F40/D40,0)</f>
        <v/>
      </c>
    </row>
    <row r="41">
      <c r="A41" t="inlineStr">
        <is>
          <t>2025-06</t>
        </is>
      </c>
      <c r="B41" t="inlineStr">
        <is>
          <t>Marketing</t>
        </is>
      </c>
      <c r="C41" t="inlineStr">
        <is>
          <t>Charge semi-variable</t>
        </is>
      </c>
      <c r="D41" s="2" t="n">
        <v>1224</v>
      </c>
      <c r="E41" s="2" t="n">
        <v>1428.19</v>
      </c>
      <c r="F41" s="2">
        <f>E41-D41</f>
        <v/>
      </c>
      <c r="G41" s="3">
        <f>IFERROR(F41/D41,0)</f>
        <v/>
      </c>
    </row>
    <row r="42">
      <c r="A42" t="inlineStr">
        <is>
          <t>2025-06</t>
        </is>
      </c>
      <c r="B42" t="inlineStr">
        <is>
          <t>Logistique</t>
        </is>
      </c>
      <c r="C42" t="inlineStr">
        <is>
          <t>Charge variable</t>
        </is>
      </c>
      <c r="D42" s="2" t="n">
        <v>918</v>
      </c>
      <c r="E42" s="2" t="n">
        <v>1021.56</v>
      </c>
      <c r="F42" s="2">
        <f>E42-D42</f>
        <v/>
      </c>
      <c r="G42" s="3">
        <f>IFERROR(F42/D42,0)</f>
        <v/>
      </c>
    </row>
    <row r="43">
      <c r="A43" t="inlineStr">
        <is>
          <t>2025-06</t>
        </is>
      </c>
      <c r="B43" t="inlineStr">
        <is>
          <t>Autres charges</t>
        </is>
      </c>
      <c r="C43" t="inlineStr">
        <is>
          <t>Charge fixe</t>
        </is>
      </c>
      <c r="D43" s="2" t="n">
        <v>663</v>
      </c>
      <c r="E43" s="2" t="n">
        <v>677.65</v>
      </c>
      <c r="F43" s="2">
        <f>E43-D43</f>
        <v/>
      </c>
      <c r="G43" s="3">
        <f>IFERROR(F43/D43,0)</f>
        <v/>
      </c>
    </row>
    <row r="44">
      <c r="A44" t="inlineStr">
        <is>
          <t>2025-07</t>
        </is>
      </c>
      <c r="B44" t="inlineStr">
        <is>
          <t>Chiffre d'affaires</t>
        </is>
      </c>
      <c r="C44" t="inlineStr">
        <is>
          <t>Produit</t>
        </is>
      </c>
      <c r="D44" s="2" t="n">
        <v>31500</v>
      </c>
      <c r="E44" s="2" t="n">
        <v>33773.94</v>
      </c>
      <c r="F44" s="2">
        <f>E44-D44</f>
        <v/>
      </c>
      <c r="G44" s="3">
        <f>IFERROR(F44/D44,0)</f>
        <v/>
      </c>
    </row>
    <row r="45">
      <c r="A45" t="inlineStr">
        <is>
          <t>2025-07</t>
        </is>
      </c>
      <c r="B45" t="inlineStr">
        <is>
          <t>Achats marchandises</t>
        </is>
      </c>
      <c r="C45" t="inlineStr">
        <is>
          <t>Charge variable</t>
        </is>
      </c>
      <c r="D45" s="2" t="n">
        <v>13125</v>
      </c>
      <c r="E45" s="2" t="n">
        <v>13425.38</v>
      </c>
      <c r="F45" s="2">
        <f>E45-D45</f>
        <v/>
      </c>
      <c r="G45" s="3">
        <f>IFERROR(F45/D45,0)</f>
        <v/>
      </c>
    </row>
    <row r="46">
      <c r="A46" t="inlineStr">
        <is>
          <t>2025-07</t>
        </is>
      </c>
      <c r="B46" t="inlineStr">
        <is>
          <t>Salaires et charges</t>
        </is>
      </c>
      <c r="C46" t="inlineStr">
        <is>
          <t>Charge fixe</t>
        </is>
      </c>
      <c r="D46" s="2" t="n">
        <v>6510</v>
      </c>
      <c r="E46" s="2" t="n">
        <v>6497.98</v>
      </c>
      <c r="F46" s="2">
        <f>E46-D46</f>
        <v/>
      </c>
      <c r="G46" s="3">
        <f>IFERROR(F46/D46,0)</f>
        <v/>
      </c>
    </row>
    <row r="47">
      <c r="A47" t="inlineStr">
        <is>
          <t>2025-07</t>
        </is>
      </c>
      <c r="B47" t="inlineStr">
        <is>
          <t>Loyer et charges locatives</t>
        </is>
      </c>
      <c r="C47" t="inlineStr">
        <is>
          <t>Charge fixe</t>
        </is>
      </c>
      <c r="D47" s="2" t="n">
        <v>1890</v>
      </c>
      <c r="E47" s="2" t="n">
        <v>1906.01</v>
      </c>
      <c r="F47" s="2">
        <f>E47-D47</f>
        <v/>
      </c>
      <c r="G47" s="3">
        <f>IFERROR(F47/D47,0)</f>
        <v/>
      </c>
    </row>
    <row r="48">
      <c r="A48" t="inlineStr">
        <is>
          <t>2025-07</t>
        </is>
      </c>
      <c r="B48" t="inlineStr">
        <is>
          <t>Marketing</t>
        </is>
      </c>
      <c r="C48" t="inlineStr">
        <is>
          <t>Charge semi-variable</t>
        </is>
      </c>
      <c r="D48" s="2" t="n">
        <v>1260</v>
      </c>
      <c r="E48" s="2" t="n">
        <v>1326.59</v>
      </c>
      <c r="F48" s="2">
        <f>E48-D48</f>
        <v/>
      </c>
      <c r="G48" s="3">
        <f>IFERROR(F48/D48,0)</f>
        <v/>
      </c>
    </row>
    <row r="49">
      <c r="A49" t="inlineStr">
        <is>
          <t>2025-07</t>
        </is>
      </c>
      <c r="B49" t="inlineStr">
        <is>
          <t>Logistique</t>
        </is>
      </c>
      <c r="C49" t="inlineStr">
        <is>
          <t>Charge variable</t>
        </is>
      </c>
      <c r="D49" s="2" t="n">
        <v>945</v>
      </c>
      <c r="E49" s="2" t="n">
        <v>980.1799999999999</v>
      </c>
      <c r="F49" s="2">
        <f>E49-D49</f>
        <v/>
      </c>
      <c r="G49" s="3">
        <f>IFERROR(F49/D49,0)</f>
        <v/>
      </c>
    </row>
    <row r="50">
      <c r="A50" t="inlineStr">
        <is>
          <t>2025-07</t>
        </is>
      </c>
      <c r="B50" t="inlineStr">
        <is>
          <t>Autres charges</t>
        </is>
      </c>
      <c r="C50" t="inlineStr">
        <is>
          <t>Charge fixe</t>
        </is>
      </c>
      <c r="D50" s="2" t="n">
        <v>682.5</v>
      </c>
      <c r="E50" s="2" t="n">
        <v>660.5599999999999</v>
      </c>
      <c r="F50" s="2">
        <f>E50-D50</f>
        <v/>
      </c>
      <c r="G50" s="3">
        <f>IFERROR(F50/D50,0)</f>
        <v/>
      </c>
    </row>
    <row r="51">
      <c r="A51" t="inlineStr">
        <is>
          <t>2025-08</t>
        </is>
      </c>
      <c r="B51" t="inlineStr">
        <is>
          <t>Chiffre d'affaires</t>
        </is>
      </c>
      <c r="C51" t="inlineStr">
        <is>
          <t>Produit</t>
        </is>
      </c>
      <c r="D51" s="2" t="n">
        <v>30300</v>
      </c>
      <c r="E51" s="2" t="n">
        <v>30849.59</v>
      </c>
      <c r="F51" s="2">
        <f>E51-D51</f>
        <v/>
      </c>
      <c r="G51" s="3">
        <f>IFERROR(F51/D51,0)</f>
        <v/>
      </c>
    </row>
    <row r="52">
      <c r="A52" t="inlineStr">
        <is>
          <t>2025-08</t>
        </is>
      </c>
      <c r="B52" t="inlineStr">
        <is>
          <t>Achats marchandises</t>
        </is>
      </c>
      <c r="C52" t="inlineStr">
        <is>
          <t>Charge variable</t>
        </is>
      </c>
      <c r="D52" s="2" t="n">
        <v>12625</v>
      </c>
      <c r="E52" s="2" t="n">
        <v>12909.43</v>
      </c>
      <c r="F52" s="2">
        <f>E52-D52</f>
        <v/>
      </c>
      <c r="G52" s="3">
        <f>IFERROR(F52/D52,0)</f>
        <v/>
      </c>
    </row>
    <row r="53">
      <c r="A53" t="inlineStr">
        <is>
          <t>2025-08</t>
        </is>
      </c>
      <c r="B53" t="inlineStr">
        <is>
          <t>Salaires et charges</t>
        </is>
      </c>
      <c r="C53" t="inlineStr">
        <is>
          <t>Charge fixe</t>
        </is>
      </c>
      <c r="D53" s="2" t="n">
        <v>6262</v>
      </c>
      <c r="E53" s="2" t="n">
        <v>6311.88</v>
      </c>
      <c r="F53" s="2">
        <f>E53-D53</f>
        <v/>
      </c>
      <c r="G53" s="3">
        <f>IFERROR(F53/D53,0)</f>
        <v/>
      </c>
    </row>
    <row r="54">
      <c r="A54" t="inlineStr">
        <is>
          <t>2025-08</t>
        </is>
      </c>
      <c r="B54" t="inlineStr">
        <is>
          <t>Loyer et charges locatives</t>
        </is>
      </c>
      <c r="C54" t="inlineStr">
        <is>
          <t>Charge fixe</t>
        </is>
      </c>
      <c r="D54" s="2" t="n">
        <v>1818</v>
      </c>
      <c r="E54" s="2" t="n">
        <v>1834.05</v>
      </c>
      <c r="F54" s="2">
        <f>E54-D54</f>
        <v/>
      </c>
      <c r="G54" s="3">
        <f>IFERROR(F54/D54,0)</f>
        <v/>
      </c>
    </row>
    <row r="55">
      <c r="A55" t="inlineStr">
        <is>
          <t>2025-08</t>
        </is>
      </c>
      <c r="B55" t="inlineStr">
        <is>
          <t>Marketing</t>
        </is>
      </c>
      <c r="C55" t="inlineStr">
        <is>
          <t>Charge semi-variable</t>
        </is>
      </c>
      <c r="D55" s="2" t="n">
        <v>1212</v>
      </c>
      <c r="E55" s="2" t="n">
        <v>1361.32</v>
      </c>
      <c r="F55" s="2">
        <f>E55-D55</f>
        <v/>
      </c>
      <c r="G55" s="3">
        <f>IFERROR(F55/D55,0)</f>
        <v/>
      </c>
    </row>
    <row r="56">
      <c r="A56" t="inlineStr">
        <is>
          <t>2025-08</t>
        </is>
      </c>
      <c r="B56" t="inlineStr">
        <is>
          <t>Logistique</t>
        </is>
      </c>
      <c r="C56" t="inlineStr">
        <is>
          <t>Charge variable</t>
        </is>
      </c>
      <c r="D56" s="2" t="n">
        <v>909</v>
      </c>
      <c r="E56" s="2" t="n">
        <v>866.9</v>
      </c>
      <c r="F56" s="2">
        <f>E56-D56</f>
        <v/>
      </c>
      <c r="G56" s="3">
        <f>IFERROR(F56/D56,0)</f>
        <v/>
      </c>
    </row>
    <row r="57">
      <c r="A57" t="inlineStr">
        <is>
          <t>2025-08</t>
        </is>
      </c>
      <c r="B57" t="inlineStr">
        <is>
          <t>Autres charges</t>
        </is>
      </c>
      <c r="C57" t="inlineStr">
        <is>
          <t>Charge fixe</t>
        </is>
      </c>
      <c r="D57" s="2" t="n">
        <v>656.5</v>
      </c>
      <c r="E57" s="2" t="n">
        <v>639.63</v>
      </c>
      <c r="F57" s="2">
        <f>E57-D57</f>
        <v/>
      </c>
      <c r="G57" s="3">
        <f>IFERROR(F57/D57,0)</f>
        <v/>
      </c>
    </row>
    <row r="58">
      <c r="A58" t="inlineStr">
        <is>
          <t>2025-09</t>
        </is>
      </c>
      <c r="B58" t="inlineStr">
        <is>
          <t>Chiffre d'affaires</t>
        </is>
      </c>
      <c r="C58" t="inlineStr">
        <is>
          <t>Produit</t>
        </is>
      </c>
      <c r="D58" s="2" t="n">
        <v>30000</v>
      </c>
      <c r="E58" s="2" t="n">
        <v>29125.52</v>
      </c>
      <c r="F58" s="2">
        <f>E58-D58</f>
        <v/>
      </c>
      <c r="G58" s="3">
        <f>IFERROR(F58/D58,0)</f>
        <v/>
      </c>
    </row>
    <row r="59">
      <c r="A59" t="inlineStr">
        <is>
          <t>2025-09</t>
        </is>
      </c>
      <c r="B59" t="inlineStr">
        <is>
          <t>Achats marchandises</t>
        </is>
      </c>
      <c r="C59" t="inlineStr">
        <is>
          <t>Charge variable</t>
        </is>
      </c>
      <c r="D59" s="2" t="n">
        <v>12500</v>
      </c>
      <c r="E59" s="2" t="n">
        <v>13179.81</v>
      </c>
      <c r="F59" s="2">
        <f>E59-D59</f>
        <v/>
      </c>
      <c r="G59" s="3">
        <f>IFERROR(F59/D59,0)</f>
        <v/>
      </c>
    </row>
    <row r="60">
      <c r="A60" t="inlineStr">
        <is>
          <t>2025-09</t>
        </is>
      </c>
      <c r="B60" t="inlineStr">
        <is>
          <t>Salaires et charges</t>
        </is>
      </c>
      <c r="C60" t="inlineStr">
        <is>
          <t>Charge fixe</t>
        </is>
      </c>
      <c r="D60" s="2" t="n">
        <v>6200</v>
      </c>
      <c r="E60" s="2" t="n">
        <v>6554.57</v>
      </c>
      <c r="F60" s="2">
        <f>E60-D60</f>
        <v/>
      </c>
      <c r="G60" s="3">
        <f>IFERROR(F60/D60,0)</f>
        <v/>
      </c>
    </row>
    <row r="61">
      <c r="A61" t="inlineStr">
        <is>
          <t>2025-09</t>
        </is>
      </c>
      <c r="B61" t="inlineStr">
        <is>
          <t>Loyer et charges locatives</t>
        </is>
      </c>
      <c r="C61" t="inlineStr">
        <is>
          <t>Charge fixe</t>
        </is>
      </c>
      <c r="D61" s="2" t="n">
        <v>1800</v>
      </c>
      <c r="E61" s="2" t="n">
        <v>1862.2</v>
      </c>
      <c r="F61" s="2">
        <f>E61-D61</f>
        <v/>
      </c>
      <c r="G61" s="3">
        <f>IFERROR(F61/D61,0)</f>
        <v/>
      </c>
    </row>
    <row r="62">
      <c r="A62" t="inlineStr">
        <is>
          <t>2025-09</t>
        </is>
      </c>
      <c r="B62" t="inlineStr">
        <is>
          <t>Marketing</t>
        </is>
      </c>
      <c r="C62" t="inlineStr">
        <is>
          <t>Charge semi-variable</t>
        </is>
      </c>
      <c r="D62" s="2" t="n">
        <v>1200</v>
      </c>
      <c r="E62" s="2" t="n">
        <v>995.71</v>
      </c>
      <c r="F62" s="2">
        <f>E62-D62</f>
        <v/>
      </c>
      <c r="G62" s="3">
        <f>IFERROR(F62/D62,0)</f>
        <v/>
      </c>
    </row>
    <row r="63">
      <c r="A63" t="inlineStr">
        <is>
          <t>2025-09</t>
        </is>
      </c>
      <c r="B63" t="inlineStr">
        <is>
          <t>Logistique</t>
        </is>
      </c>
      <c r="C63" t="inlineStr">
        <is>
          <t>Charge variable</t>
        </is>
      </c>
      <c r="D63" s="2" t="n">
        <v>900</v>
      </c>
      <c r="E63" s="2" t="n">
        <v>919.27</v>
      </c>
      <c r="F63" s="2">
        <f>E63-D63</f>
        <v/>
      </c>
      <c r="G63" s="3">
        <f>IFERROR(F63/D63,0)</f>
        <v/>
      </c>
    </row>
    <row r="64">
      <c r="A64" t="inlineStr">
        <is>
          <t>2025-09</t>
        </is>
      </c>
      <c r="B64" t="inlineStr">
        <is>
          <t>Autres charges</t>
        </is>
      </c>
      <c r="C64" t="inlineStr">
        <is>
          <t>Charge fixe</t>
        </is>
      </c>
      <c r="D64" s="2" t="n">
        <v>650</v>
      </c>
      <c r="E64" s="2" t="n">
        <v>663.92</v>
      </c>
      <c r="F64" s="2">
        <f>E64-D64</f>
        <v/>
      </c>
      <c r="G64" s="3">
        <f>IFERROR(F64/D64,0)</f>
        <v/>
      </c>
    </row>
    <row r="65">
      <c r="A65" t="inlineStr">
        <is>
          <t>2025-10</t>
        </is>
      </c>
      <c r="B65" t="inlineStr">
        <is>
          <t>Chiffre d'affaires</t>
        </is>
      </c>
      <c r="C65" t="inlineStr">
        <is>
          <t>Produit</t>
        </is>
      </c>
      <c r="D65" s="2" t="n">
        <v>32400</v>
      </c>
      <c r="E65" s="2" t="n">
        <v>34012.47</v>
      </c>
      <c r="F65" s="2">
        <f>E65-D65</f>
        <v/>
      </c>
      <c r="G65" s="3">
        <f>IFERROR(F65/D65,0)</f>
        <v/>
      </c>
    </row>
    <row r="66">
      <c r="A66" t="inlineStr">
        <is>
          <t>2025-10</t>
        </is>
      </c>
      <c r="B66" t="inlineStr">
        <is>
          <t>Achats marchandises</t>
        </is>
      </c>
      <c r="C66" t="inlineStr">
        <is>
          <t>Charge variable</t>
        </is>
      </c>
      <c r="D66" s="2" t="n">
        <v>13500</v>
      </c>
      <c r="E66" s="2" t="n">
        <v>14097.63</v>
      </c>
      <c r="F66" s="2">
        <f>E66-D66</f>
        <v/>
      </c>
      <c r="G66" s="3">
        <f>IFERROR(F66/D66,0)</f>
        <v/>
      </c>
    </row>
    <row r="67">
      <c r="A67" t="inlineStr">
        <is>
          <t>2025-10</t>
        </is>
      </c>
      <c r="B67" t="inlineStr">
        <is>
          <t>Salaires et charges</t>
        </is>
      </c>
      <c r="C67" t="inlineStr">
        <is>
          <t>Charge fixe</t>
        </is>
      </c>
      <c r="D67" s="2" t="n">
        <v>6696</v>
      </c>
      <c r="E67" s="2" t="n">
        <v>6642.93</v>
      </c>
      <c r="F67" s="2">
        <f>E67-D67</f>
        <v/>
      </c>
      <c r="G67" s="3">
        <f>IFERROR(F67/D67,0)</f>
        <v/>
      </c>
    </row>
    <row r="68">
      <c r="A68" t="inlineStr">
        <is>
          <t>2025-10</t>
        </is>
      </c>
      <c r="B68" t="inlineStr">
        <is>
          <t>Loyer et charges locatives</t>
        </is>
      </c>
      <c r="C68" t="inlineStr">
        <is>
          <t>Charge fixe</t>
        </is>
      </c>
      <c r="D68" s="2" t="n">
        <v>1944</v>
      </c>
      <c r="E68" s="2" t="n">
        <v>1976.32</v>
      </c>
      <c r="F68" s="2">
        <f>E68-D68</f>
        <v/>
      </c>
      <c r="G68" s="3">
        <f>IFERROR(F68/D68,0)</f>
        <v/>
      </c>
    </row>
    <row r="69">
      <c r="A69" t="inlineStr">
        <is>
          <t>2025-10</t>
        </is>
      </c>
      <c r="B69" t="inlineStr">
        <is>
          <t>Marketing</t>
        </is>
      </c>
      <c r="C69" t="inlineStr">
        <is>
          <t>Charge semi-variable</t>
        </is>
      </c>
      <c r="D69" s="2" t="n">
        <v>1296</v>
      </c>
      <c r="E69" s="2" t="n">
        <v>1442.51</v>
      </c>
      <c r="F69" s="2">
        <f>E69-D69</f>
        <v/>
      </c>
      <c r="G69" s="3">
        <f>IFERROR(F69/D69,0)</f>
        <v/>
      </c>
    </row>
    <row r="70">
      <c r="A70" t="inlineStr">
        <is>
          <t>2025-10</t>
        </is>
      </c>
      <c r="B70" t="inlineStr">
        <is>
          <t>Logistique</t>
        </is>
      </c>
      <c r="C70" t="inlineStr">
        <is>
          <t>Charge variable</t>
        </is>
      </c>
      <c r="D70" s="2" t="n">
        <v>972</v>
      </c>
      <c r="E70" s="2" t="n">
        <v>1075.08</v>
      </c>
      <c r="F70" s="2">
        <f>E70-D70</f>
        <v/>
      </c>
      <c r="G70" s="3">
        <f>IFERROR(F70/D70,0)</f>
        <v/>
      </c>
    </row>
    <row r="71">
      <c r="A71" t="inlineStr">
        <is>
          <t>2025-10</t>
        </is>
      </c>
      <c r="B71" t="inlineStr">
        <is>
          <t>Autres charges</t>
        </is>
      </c>
      <c r="C71" t="inlineStr">
        <is>
          <t>Charge fixe</t>
        </is>
      </c>
      <c r="D71" s="2" t="n">
        <v>702</v>
      </c>
      <c r="E71" s="2" t="n">
        <v>698.39</v>
      </c>
      <c r="F71" s="2">
        <f>E71-D71</f>
        <v/>
      </c>
      <c r="G71" s="3">
        <f>IFERROR(F71/D71,0)</f>
        <v/>
      </c>
    </row>
    <row r="72">
      <c r="A72" t="inlineStr">
        <is>
          <t>2025-11</t>
        </is>
      </c>
      <c r="B72" t="inlineStr">
        <is>
          <t>Chiffre d'affaires</t>
        </is>
      </c>
      <c r="C72" t="inlineStr">
        <is>
          <t>Produit</t>
        </is>
      </c>
      <c r="D72" s="2" t="n">
        <v>35400</v>
      </c>
      <c r="E72" s="2" t="n">
        <v>36143.98</v>
      </c>
      <c r="F72" s="2">
        <f>E72-D72</f>
        <v/>
      </c>
      <c r="G72" s="3">
        <f>IFERROR(F72/D72,0)</f>
        <v/>
      </c>
    </row>
    <row r="73">
      <c r="A73" t="inlineStr">
        <is>
          <t>2025-11</t>
        </is>
      </c>
      <c r="B73" t="inlineStr">
        <is>
          <t>Achats marchandises</t>
        </is>
      </c>
      <c r="C73" t="inlineStr">
        <is>
          <t>Charge variable</t>
        </is>
      </c>
      <c r="D73" s="2" t="n">
        <v>14750</v>
      </c>
      <c r="E73" s="2" t="n">
        <v>13250.34</v>
      </c>
      <c r="F73" s="2">
        <f>E73-D73</f>
        <v/>
      </c>
      <c r="G73" s="3">
        <f>IFERROR(F73/D73,0)</f>
        <v/>
      </c>
    </row>
    <row r="74">
      <c r="A74" t="inlineStr">
        <is>
          <t>2025-11</t>
        </is>
      </c>
      <c r="B74" t="inlineStr">
        <is>
          <t>Salaires et charges</t>
        </is>
      </c>
      <c r="C74" t="inlineStr">
        <is>
          <t>Charge fixe</t>
        </is>
      </c>
      <c r="D74" s="2" t="n">
        <v>7316</v>
      </c>
      <c r="E74" s="2" t="n">
        <v>7312.07</v>
      </c>
      <c r="F74" s="2">
        <f>E74-D74</f>
        <v/>
      </c>
      <c r="G74" s="3">
        <f>IFERROR(F74/D74,0)</f>
        <v/>
      </c>
    </row>
    <row r="75">
      <c r="A75" t="inlineStr">
        <is>
          <t>2025-11</t>
        </is>
      </c>
      <c r="B75" t="inlineStr">
        <is>
          <t>Loyer et charges locatives</t>
        </is>
      </c>
      <c r="C75" t="inlineStr">
        <is>
          <t>Charge fixe</t>
        </is>
      </c>
      <c r="D75" s="2" t="n">
        <v>2124</v>
      </c>
      <c r="E75" s="2" t="n">
        <v>2128.01</v>
      </c>
      <c r="F75" s="2">
        <f>E75-D75</f>
        <v/>
      </c>
      <c r="G75" s="3">
        <f>IFERROR(F75/D75,0)</f>
        <v/>
      </c>
    </row>
    <row r="76">
      <c r="A76" t="inlineStr">
        <is>
          <t>2025-11</t>
        </is>
      </c>
      <c r="B76" t="inlineStr">
        <is>
          <t>Marketing</t>
        </is>
      </c>
      <c r="C76" t="inlineStr">
        <is>
          <t>Charge semi-variable</t>
        </is>
      </c>
      <c r="D76" s="2" t="n">
        <v>1416</v>
      </c>
      <c r="E76" s="2" t="n">
        <v>1270.24</v>
      </c>
      <c r="F76" s="2">
        <f>E76-D76</f>
        <v/>
      </c>
      <c r="G76" s="3">
        <f>IFERROR(F76/D76,0)</f>
        <v/>
      </c>
    </row>
    <row r="77">
      <c r="A77" t="inlineStr">
        <is>
          <t>2025-11</t>
        </is>
      </c>
      <c r="B77" t="inlineStr">
        <is>
          <t>Logistique</t>
        </is>
      </c>
      <c r="C77" t="inlineStr">
        <is>
          <t>Charge variable</t>
        </is>
      </c>
      <c r="D77" s="2" t="n">
        <v>1062</v>
      </c>
      <c r="E77" s="2" t="n">
        <v>1118.55</v>
      </c>
      <c r="F77" s="2">
        <f>E77-D77</f>
        <v/>
      </c>
      <c r="G77" s="3">
        <f>IFERROR(F77/D77,0)</f>
        <v/>
      </c>
    </row>
    <row r="78">
      <c r="A78" t="inlineStr">
        <is>
          <t>2025-11</t>
        </is>
      </c>
      <c r="B78" t="inlineStr">
        <is>
          <t>Autres charges</t>
        </is>
      </c>
      <c r="C78" t="inlineStr">
        <is>
          <t>Charge fixe</t>
        </is>
      </c>
      <c r="D78" s="2" t="n">
        <v>767</v>
      </c>
      <c r="E78" s="2" t="n">
        <v>777.4299999999999</v>
      </c>
      <c r="F78" s="2">
        <f>E78-D78</f>
        <v/>
      </c>
      <c r="G78" s="3">
        <f>IFERROR(F78/D78,0)</f>
        <v/>
      </c>
    </row>
    <row r="79">
      <c r="A79" t="inlineStr">
        <is>
          <t>2025-12</t>
        </is>
      </c>
      <c r="B79" t="inlineStr">
        <is>
          <t>Chiffre d'affaires</t>
        </is>
      </c>
      <c r="C79" t="inlineStr">
        <is>
          <t>Produit</t>
        </is>
      </c>
      <c r="D79" s="2" t="n">
        <v>39600</v>
      </c>
      <c r="E79" s="2" t="n">
        <v>36263.43</v>
      </c>
      <c r="F79" s="2">
        <f>E79-D79</f>
        <v/>
      </c>
      <c r="G79" s="3">
        <f>IFERROR(F79/D79,0)</f>
        <v/>
      </c>
    </row>
    <row r="80">
      <c r="A80" t="inlineStr">
        <is>
          <t>2025-12</t>
        </is>
      </c>
      <c r="B80" t="inlineStr">
        <is>
          <t>Achats marchandises</t>
        </is>
      </c>
      <c r="C80" t="inlineStr">
        <is>
          <t>Charge variable</t>
        </is>
      </c>
      <c r="D80" s="2" t="n">
        <v>16500</v>
      </c>
      <c r="E80" s="2" t="n">
        <v>16990.01</v>
      </c>
      <c r="F80" s="2">
        <f>E80-D80</f>
        <v/>
      </c>
      <c r="G80" s="3">
        <f>IFERROR(F80/D80,0)</f>
        <v/>
      </c>
    </row>
    <row r="81">
      <c r="A81" t="inlineStr">
        <is>
          <t>2025-12</t>
        </is>
      </c>
      <c r="B81" t="inlineStr">
        <is>
          <t>Salaires et charges</t>
        </is>
      </c>
      <c r="C81" t="inlineStr">
        <is>
          <t>Charge fixe</t>
        </is>
      </c>
      <c r="D81" s="2" t="n">
        <v>8184</v>
      </c>
      <c r="E81" s="2" t="n">
        <v>8116.82</v>
      </c>
      <c r="F81" s="2">
        <f>E81-D81</f>
        <v/>
      </c>
      <c r="G81" s="3">
        <f>IFERROR(F81/D81,0)</f>
        <v/>
      </c>
    </row>
    <row r="82">
      <c r="A82" t="inlineStr">
        <is>
          <t>2025-12</t>
        </is>
      </c>
      <c r="B82" t="inlineStr">
        <is>
          <t>Loyer et charges locatives</t>
        </is>
      </c>
      <c r="C82" t="inlineStr">
        <is>
          <t>Charge fixe</t>
        </is>
      </c>
      <c r="D82" s="2" t="n">
        <v>2376</v>
      </c>
      <c r="E82" s="2" t="n">
        <v>2440.49</v>
      </c>
      <c r="F82" s="2">
        <f>E82-D82</f>
        <v/>
      </c>
      <c r="G82" s="3">
        <f>IFERROR(F82/D82,0)</f>
        <v/>
      </c>
    </row>
    <row r="83">
      <c r="A83" t="inlineStr">
        <is>
          <t>2025-12</t>
        </is>
      </c>
      <c r="B83" t="inlineStr">
        <is>
          <t>Marketing</t>
        </is>
      </c>
      <c r="C83" t="inlineStr">
        <is>
          <t>Charge semi-variable</t>
        </is>
      </c>
      <c r="D83" s="2" t="n">
        <v>1584</v>
      </c>
      <c r="E83" s="2" t="n">
        <v>1358.63</v>
      </c>
      <c r="F83" s="2">
        <f>E83-D83</f>
        <v/>
      </c>
      <c r="G83" s="3">
        <f>IFERROR(F83/D83,0)</f>
        <v/>
      </c>
    </row>
    <row r="84">
      <c r="A84" t="inlineStr">
        <is>
          <t>2025-12</t>
        </is>
      </c>
      <c r="B84" t="inlineStr">
        <is>
          <t>Logistique</t>
        </is>
      </c>
      <c r="C84" t="inlineStr">
        <is>
          <t>Charge variable</t>
        </is>
      </c>
      <c r="D84" s="2" t="n">
        <v>1188</v>
      </c>
      <c r="E84" s="2" t="n">
        <v>1238.37</v>
      </c>
      <c r="F84" s="2">
        <f>E84-D84</f>
        <v/>
      </c>
      <c r="G84" s="3">
        <f>IFERROR(F84/D84,0)</f>
        <v/>
      </c>
    </row>
    <row r="85">
      <c r="A85" t="inlineStr">
        <is>
          <t>2025-12</t>
        </is>
      </c>
      <c r="B85" t="inlineStr">
        <is>
          <t>Autres charges</t>
        </is>
      </c>
      <c r="C85" t="inlineStr">
        <is>
          <t>Charge fixe</t>
        </is>
      </c>
      <c r="D85" s="2" t="n">
        <v>858</v>
      </c>
      <c r="E85" s="2" t="n">
        <v>864.8</v>
      </c>
      <c r="F85" s="2">
        <f>E85-D85</f>
        <v/>
      </c>
      <c r="G85" s="3">
        <f>IFERROR(F85/D85,0)</f>
        <v/>
      </c>
    </row>
  </sheetData>
  <autoFilter ref="A1:G85"/>
  <conditionalFormatting sqref="F2:F8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CONTRÔLE BUDGÉTAIRE - CAS SIMULÉ</t>
        </is>
      </c>
    </row>
    <row r="2">
      <c r="A2" s="5" t="inlineStr">
        <is>
          <t>CA budgété</t>
        </is>
      </c>
      <c r="B2" s="2">
        <f>SUMIF(Budget_Reel!B2:B85,"Chiffre d'affaires",Budget_Reel!D2:D85)</f>
        <v/>
      </c>
    </row>
    <row r="3">
      <c r="A3" s="5" t="inlineStr">
        <is>
          <t>CA réel</t>
        </is>
      </c>
      <c r="B3" s="2">
        <f>SUMIF(Budget_Reel!B2:B85,"Chiffre d'affaires",Budget_Reel!E2:E85)</f>
        <v/>
      </c>
    </row>
    <row r="4">
      <c r="A4" s="5" t="inlineStr">
        <is>
          <t>Charges budgétées</t>
        </is>
      </c>
      <c r="B4" s="2">
        <f>SUM(Budget_Reel!D2:D85)-B2</f>
        <v/>
      </c>
    </row>
    <row r="5">
      <c r="A5" s="5" t="inlineStr">
        <is>
          <t>Charges réelles</t>
        </is>
      </c>
      <c r="B5" s="2">
        <f>SUM(Budget_Reel!E2:E85)-B3</f>
        <v/>
      </c>
    </row>
    <row r="6">
      <c r="A6" s="5" t="inlineStr">
        <is>
          <t>Résultat budgété simplifié</t>
        </is>
      </c>
      <c r="B6" s="2">
        <f>B2-B4</f>
        <v/>
      </c>
    </row>
    <row r="7">
      <c r="A7" s="5" t="inlineStr">
        <is>
          <t>Résultat réel simplifié</t>
        </is>
      </c>
      <c r="B7" s="2">
        <f>B3-B5</f>
        <v/>
      </c>
    </row>
    <row r="8">
      <c r="A8" s="5" t="inlineStr">
        <is>
          <t>Écart de résultat</t>
        </is>
      </c>
      <c r="B8" s="2">
        <f>B7-B6</f>
        <v/>
      </c>
    </row>
    <row r="11">
      <c r="A11" s="6" t="inlineStr">
        <is>
          <t>Résultat simplifié mensuel</t>
        </is>
      </c>
    </row>
    <row r="12">
      <c r="A12" s="7" t="inlineStr">
        <is>
          <t>Mois</t>
        </is>
      </c>
      <c r="B12" s="7" t="inlineStr">
        <is>
          <t>CA budgété</t>
        </is>
      </c>
      <c r="C12" s="7" t="inlineStr">
        <is>
          <t>CA réel</t>
        </is>
      </c>
      <c r="D12" s="7" t="inlineStr">
        <is>
          <t>Charges budgétées</t>
        </is>
      </c>
      <c r="E12" s="7" t="inlineStr">
        <is>
          <t>Charges réelles</t>
        </is>
      </c>
      <c r="F12" s="7" t="inlineStr">
        <is>
          <t>Résultat budgété</t>
        </is>
      </c>
      <c r="G12" s="7" t="inlineStr">
        <is>
          <t>Résultat réel</t>
        </is>
      </c>
    </row>
    <row r="13">
      <c r="A13" t="inlineStr">
        <is>
          <t>2025-01</t>
        </is>
      </c>
      <c r="B13" s="2">
        <f>SUMIFS(Budget_Reel!D$2:D$85,Budget_Reel!A$2:A$85,A13,Budget_Reel!B$2:B$85,"Chiffre d'affaires")</f>
        <v/>
      </c>
      <c r="C13" s="2">
        <f>SUMIFS(Budget_Reel!E$2:E$85,Budget_Reel!A$2:A$85,A13,Budget_Reel!B$2:B$85,"Chiffre d'affaires")</f>
        <v/>
      </c>
      <c r="D13" s="2">
        <f>SUMIFS(Budget_Reel!D$2:D$85,Budget_Reel!A$2:A$85,A13)-B13</f>
        <v/>
      </c>
      <c r="E13" s="2">
        <f>SUMIFS(Budget_Reel!E$2:E$85,Budget_Reel!A$2:A$85,A13)-C13</f>
        <v/>
      </c>
      <c r="F13" s="2">
        <f>B13-D13</f>
        <v/>
      </c>
      <c r="G13" s="2">
        <f>C13-E13</f>
        <v/>
      </c>
    </row>
    <row r="14">
      <c r="A14" t="inlineStr">
        <is>
          <t>2025-02</t>
        </is>
      </c>
      <c r="B14" s="2">
        <f>SUMIFS(Budget_Reel!D$2:D$85,Budget_Reel!A$2:A$85,A14,Budget_Reel!B$2:B$85,"Chiffre d'affaires")</f>
        <v/>
      </c>
      <c r="C14" s="2">
        <f>SUMIFS(Budget_Reel!E$2:E$85,Budget_Reel!A$2:A$85,A14,Budget_Reel!B$2:B$85,"Chiffre d'affaires")</f>
        <v/>
      </c>
      <c r="D14" s="2">
        <f>SUMIFS(Budget_Reel!D$2:D$85,Budget_Reel!A$2:A$85,A14)-B14</f>
        <v/>
      </c>
      <c r="E14" s="2">
        <f>SUMIFS(Budget_Reel!E$2:E$85,Budget_Reel!A$2:A$85,A14)-C14</f>
        <v/>
      </c>
      <c r="F14" s="2">
        <f>B14-D14</f>
        <v/>
      </c>
      <c r="G14" s="2">
        <f>C14-E14</f>
        <v/>
      </c>
    </row>
    <row r="15">
      <c r="A15" t="inlineStr">
        <is>
          <t>2025-03</t>
        </is>
      </c>
      <c r="B15" s="2">
        <f>SUMIFS(Budget_Reel!D$2:D$85,Budget_Reel!A$2:A$85,A15,Budget_Reel!B$2:B$85,"Chiffre d'affaires")</f>
        <v/>
      </c>
      <c r="C15" s="2">
        <f>SUMIFS(Budget_Reel!E$2:E$85,Budget_Reel!A$2:A$85,A15,Budget_Reel!B$2:B$85,"Chiffre d'affaires")</f>
        <v/>
      </c>
      <c r="D15" s="2">
        <f>SUMIFS(Budget_Reel!D$2:D$85,Budget_Reel!A$2:A$85,A15)-B15</f>
        <v/>
      </c>
      <c r="E15" s="2">
        <f>SUMIFS(Budget_Reel!E$2:E$85,Budget_Reel!A$2:A$85,A15)-C15</f>
        <v/>
      </c>
      <c r="F15" s="2">
        <f>B15-D15</f>
        <v/>
      </c>
      <c r="G15" s="2">
        <f>C15-E15</f>
        <v/>
      </c>
    </row>
    <row r="16">
      <c r="A16" t="inlineStr">
        <is>
          <t>2025-04</t>
        </is>
      </c>
      <c r="B16" s="2">
        <f>SUMIFS(Budget_Reel!D$2:D$85,Budget_Reel!A$2:A$85,A16,Budget_Reel!B$2:B$85,"Chiffre d'affaires")</f>
        <v/>
      </c>
      <c r="C16" s="2">
        <f>SUMIFS(Budget_Reel!E$2:E$85,Budget_Reel!A$2:A$85,A16,Budget_Reel!B$2:B$85,"Chiffre d'affaires")</f>
        <v/>
      </c>
      <c r="D16" s="2">
        <f>SUMIFS(Budget_Reel!D$2:D$85,Budget_Reel!A$2:A$85,A16)-B16</f>
        <v/>
      </c>
      <c r="E16" s="2">
        <f>SUMIFS(Budget_Reel!E$2:E$85,Budget_Reel!A$2:A$85,A16)-C16</f>
        <v/>
      </c>
      <c r="F16" s="2">
        <f>B16-D16</f>
        <v/>
      </c>
      <c r="G16" s="2">
        <f>C16-E16</f>
        <v/>
      </c>
    </row>
    <row r="17">
      <c r="A17" t="inlineStr">
        <is>
          <t>2025-05</t>
        </is>
      </c>
      <c r="B17" s="2">
        <f>SUMIFS(Budget_Reel!D$2:D$85,Budget_Reel!A$2:A$85,A17,Budget_Reel!B$2:B$85,"Chiffre d'affaires")</f>
        <v/>
      </c>
      <c r="C17" s="2">
        <f>SUMIFS(Budget_Reel!E$2:E$85,Budget_Reel!A$2:A$85,A17,Budget_Reel!B$2:B$85,"Chiffre d'affaires")</f>
        <v/>
      </c>
      <c r="D17" s="2">
        <f>SUMIFS(Budget_Reel!D$2:D$85,Budget_Reel!A$2:A$85,A17)-B17</f>
        <v/>
      </c>
      <c r="E17" s="2">
        <f>SUMIFS(Budget_Reel!E$2:E$85,Budget_Reel!A$2:A$85,A17)-C17</f>
        <v/>
      </c>
      <c r="F17" s="2">
        <f>B17-D17</f>
        <v/>
      </c>
      <c r="G17" s="2">
        <f>C17-E17</f>
        <v/>
      </c>
    </row>
    <row r="18">
      <c r="A18" t="inlineStr">
        <is>
          <t>2025-06</t>
        </is>
      </c>
      <c r="B18" s="2">
        <f>SUMIFS(Budget_Reel!D$2:D$85,Budget_Reel!A$2:A$85,A18,Budget_Reel!B$2:B$85,"Chiffre d'affaires")</f>
        <v/>
      </c>
      <c r="C18" s="2">
        <f>SUMIFS(Budget_Reel!E$2:E$85,Budget_Reel!A$2:A$85,A18,Budget_Reel!B$2:B$85,"Chiffre d'affaires")</f>
        <v/>
      </c>
      <c r="D18" s="2">
        <f>SUMIFS(Budget_Reel!D$2:D$85,Budget_Reel!A$2:A$85,A18)-B18</f>
        <v/>
      </c>
      <c r="E18" s="2">
        <f>SUMIFS(Budget_Reel!E$2:E$85,Budget_Reel!A$2:A$85,A18)-C18</f>
        <v/>
      </c>
      <c r="F18" s="2">
        <f>B18-D18</f>
        <v/>
      </c>
      <c r="G18" s="2">
        <f>C18-E18</f>
        <v/>
      </c>
    </row>
    <row r="19">
      <c r="A19" t="inlineStr">
        <is>
          <t>2025-07</t>
        </is>
      </c>
      <c r="B19" s="2">
        <f>SUMIFS(Budget_Reel!D$2:D$85,Budget_Reel!A$2:A$85,A19,Budget_Reel!B$2:B$85,"Chiffre d'affaires")</f>
        <v/>
      </c>
      <c r="C19" s="2">
        <f>SUMIFS(Budget_Reel!E$2:E$85,Budget_Reel!A$2:A$85,A19,Budget_Reel!B$2:B$85,"Chiffre d'affaires")</f>
        <v/>
      </c>
      <c r="D19" s="2">
        <f>SUMIFS(Budget_Reel!D$2:D$85,Budget_Reel!A$2:A$85,A19)-B19</f>
        <v/>
      </c>
      <c r="E19" s="2">
        <f>SUMIFS(Budget_Reel!E$2:E$85,Budget_Reel!A$2:A$85,A19)-C19</f>
        <v/>
      </c>
      <c r="F19" s="2">
        <f>B19-D19</f>
        <v/>
      </c>
      <c r="G19" s="2">
        <f>C19-E19</f>
        <v/>
      </c>
    </row>
    <row r="20">
      <c r="A20" t="inlineStr">
        <is>
          <t>2025-08</t>
        </is>
      </c>
      <c r="B20" s="2">
        <f>SUMIFS(Budget_Reel!D$2:D$85,Budget_Reel!A$2:A$85,A20,Budget_Reel!B$2:B$85,"Chiffre d'affaires")</f>
        <v/>
      </c>
      <c r="C20" s="2">
        <f>SUMIFS(Budget_Reel!E$2:E$85,Budget_Reel!A$2:A$85,A20,Budget_Reel!B$2:B$85,"Chiffre d'affaires")</f>
        <v/>
      </c>
      <c r="D20" s="2">
        <f>SUMIFS(Budget_Reel!D$2:D$85,Budget_Reel!A$2:A$85,A20)-B20</f>
        <v/>
      </c>
      <c r="E20" s="2">
        <f>SUMIFS(Budget_Reel!E$2:E$85,Budget_Reel!A$2:A$85,A20)-C20</f>
        <v/>
      </c>
      <c r="F20" s="2">
        <f>B20-D20</f>
        <v/>
      </c>
      <c r="G20" s="2">
        <f>C20-E20</f>
        <v/>
      </c>
    </row>
    <row r="21">
      <c r="A21" t="inlineStr">
        <is>
          <t>2025-09</t>
        </is>
      </c>
      <c r="B21" s="2">
        <f>SUMIFS(Budget_Reel!D$2:D$85,Budget_Reel!A$2:A$85,A21,Budget_Reel!B$2:B$85,"Chiffre d'affaires")</f>
        <v/>
      </c>
      <c r="C21" s="2">
        <f>SUMIFS(Budget_Reel!E$2:E$85,Budget_Reel!A$2:A$85,A21,Budget_Reel!B$2:B$85,"Chiffre d'affaires")</f>
        <v/>
      </c>
      <c r="D21" s="2">
        <f>SUMIFS(Budget_Reel!D$2:D$85,Budget_Reel!A$2:A$85,A21)-B21</f>
        <v/>
      </c>
      <c r="E21" s="2">
        <f>SUMIFS(Budget_Reel!E$2:E$85,Budget_Reel!A$2:A$85,A21)-C21</f>
        <v/>
      </c>
      <c r="F21" s="2">
        <f>B21-D21</f>
        <v/>
      </c>
      <c r="G21" s="2">
        <f>C21-E21</f>
        <v/>
      </c>
    </row>
    <row r="22">
      <c r="A22" t="inlineStr">
        <is>
          <t>2025-10</t>
        </is>
      </c>
      <c r="B22" s="2">
        <f>SUMIFS(Budget_Reel!D$2:D$85,Budget_Reel!A$2:A$85,A22,Budget_Reel!B$2:B$85,"Chiffre d'affaires")</f>
        <v/>
      </c>
      <c r="C22" s="2">
        <f>SUMIFS(Budget_Reel!E$2:E$85,Budget_Reel!A$2:A$85,A22,Budget_Reel!B$2:B$85,"Chiffre d'affaires")</f>
        <v/>
      </c>
      <c r="D22" s="2">
        <f>SUMIFS(Budget_Reel!D$2:D$85,Budget_Reel!A$2:A$85,A22)-B22</f>
        <v/>
      </c>
      <c r="E22" s="2">
        <f>SUMIFS(Budget_Reel!E$2:E$85,Budget_Reel!A$2:A$85,A22)-C22</f>
        <v/>
      </c>
      <c r="F22" s="2">
        <f>B22-D22</f>
        <v/>
      </c>
      <c r="G22" s="2">
        <f>C22-E22</f>
        <v/>
      </c>
    </row>
    <row r="23">
      <c r="A23" t="inlineStr">
        <is>
          <t>2025-11</t>
        </is>
      </c>
      <c r="B23" s="2">
        <f>SUMIFS(Budget_Reel!D$2:D$85,Budget_Reel!A$2:A$85,A23,Budget_Reel!B$2:B$85,"Chiffre d'affaires")</f>
        <v/>
      </c>
      <c r="C23" s="2">
        <f>SUMIFS(Budget_Reel!E$2:E$85,Budget_Reel!A$2:A$85,A23,Budget_Reel!B$2:B$85,"Chiffre d'affaires")</f>
        <v/>
      </c>
      <c r="D23" s="2">
        <f>SUMIFS(Budget_Reel!D$2:D$85,Budget_Reel!A$2:A$85,A23)-B23</f>
        <v/>
      </c>
      <c r="E23" s="2">
        <f>SUMIFS(Budget_Reel!E$2:E$85,Budget_Reel!A$2:A$85,A23)-C23</f>
        <v/>
      </c>
      <c r="F23" s="2">
        <f>B23-D23</f>
        <v/>
      </c>
      <c r="G23" s="2">
        <f>C23-E23</f>
        <v/>
      </c>
    </row>
    <row r="24">
      <c r="A24" t="inlineStr">
        <is>
          <t>2025-12</t>
        </is>
      </c>
      <c r="B24" s="2">
        <f>SUMIFS(Budget_Reel!D$2:D$85,Budget_Reel!A$2:A$85,A24,Budget_Reel!B$2:B$85,"Chiffre d'affaires")</f>
        <v/>
      </c>
      <c r="C24" s="2">
        <f>SUMIFS(Budget_Reel!E$2:E$85,Budget_Reel!A$2:A$85,A24,Budget_Reel!B$2:B$85,"Chiffre d'affaires")</f>
        <v/>
      </c>
      <c r="D24" s="2">
        <f>SUMIFS(Budget_Reel!D$2:D$85,Budget_Reel!A$2:A$85,A24)-B24</f>
        <v/>
      </c>
      <c r="E24" s="2">
        <f>SUMIFS(Budget_Reel!E$2:E$85,Budget_Reel!A$2:A$85,A24)-C24</f>
        <v/>
      </c>
      <c r="F24" s="2">
        <f>B24-D24</f>
        <v/>
      </c>
      <c r="G24" s="2">
        <f>C24-E24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2026-10-23T13:07:15Z</dcterms:created>
  <dcterms:modified xmlns:dcterms="http://purl.org/dc/terms/" xmlns:xsi="http://www.w3.org/2001/XMLSchema-instance" xsi:type="dcterms:W3CDTF">2026-10-23T13:07:15Z</dcterms:modified>
</cp:coreProperties>
</file>